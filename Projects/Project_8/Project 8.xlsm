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Operation_Research\Projects\Project_8\"/>
    </mc:Choice>
  </mc:AlternateContent>
  <xr:revisionPtr revIDLastSave="29" documentId="13_ncr:1_{16425BF2-D0DE-4EC6-B069-18B779FEC600}" xr6:coauthVersionLast="45" xr6:coauthVersionMax="45" xr10:uidLastSave="{446E9F1E-D0B7-435C-B02D-B0332EE17090}"/>
  <bookViews>
    <workbookView xWindow="14310" yWindow="1335" windowWidth="18270" windowHeight="18525" firstSheet="1" activeTab="2" xr2:uid="{B8FC604C-618F-CC4E-A1D6-7EE6A9187551}"/>
  </bookViews>
  <sheets>
    <sheet name="Markov Chains" sheetId="1" r:id="rId1"/>
    <sheet name="MMs Queueing" sheetId="3" r:id="rId2"/>
    <sheet name="Linear Markovian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" i="2" l="1"/>
  <c r="G4" i="2"/>
  <c r="B4" i="3" l="1"/>
  <c r="E7" i="3"/>
  <c r="C10" i="3" s="1"/>
  <c r="B7" i="3"/>
  <c r="F7" i="3" s="1"/>
  <c r="E10" i="3" l="1"/>
  <c r="C7" i="3"/>
  <c r="D7" i="3"/>
  <c r="B12" i="1" a="1"/>
  <c r="B12" i="1" s="1"/>
  <c r="N12" i="1" a="1"/>
  <c r="N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<sst xmlns="http://schemas.openxmlformats.org/spreadsheetml/2006/main" count="28" uniqueCount="21">
  <si>
    <t>Transition Matrix</t>
  </si>
  <si>
    <t>Transpose</t>
  </si>
  <si>
    <t>V</t>
  </si>
  <si>
    <t>Power</t>
  </si>
  <si>
    <t>Output</t>
  </si>
  <si>
    <t>t</t>
  </si>
  <si>
    <t>λ</t>
  </si>
  <si>
    <t>μ</t>
  </si>
  <si>
    <t>ρ</t>
  </si>
  <si>
    <t>L</t>
  </si>
  <si>
    <r>
      <t>L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</si>
  <si>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</si>
  <si>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</si>
  <si>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W(t)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</si>
  <si>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  <r>
      <rPr>
        <b/>
        <sz val="13"/>
        <color theme="3"/>
        <rFont val="Calibri"/>
        <family val="2"/>
        <scheme val="minor"/>
      </rPr>
      <t>(t)</t>
    </r>
  </si>
  <si>
    <t>Partial Implementation of MMs. Not complete</t>
  </si>
  <si>
    <t>Birth Process</t>
  </si>
  <si>
    <t>n</t>
  </si>
  <si>
    <t>N(0)</t>
  </si>
  <si>
    <t>P_n(t)</t>
  </si>
  <si>
    <t>Death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</si>
</sst>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vertAlign val="subscript"/>
      <sz val="13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ck">
        <color theme="4" tint="0.499984740745262"/>
      </top>
      <bottom style="thin">
        <color rgb="FF3F3F3F"/>
      </bottom>
      <diagonal/>
    </border>
    <border>
      <left/>
      <right style="thin">
        <color rgb="FF3F3F3F"/>
      </right>
      <top style="thick">
        <color theme="4" tint="0.499984740745262"/>
      </top>
      <bottom style="thin">
        <color rgb="FF3F3F3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3" applyNumberFormat="0" applyFill="0" applyAlignment="0" applyProtection="0"/>
    <xf numFmtId="0" fontId="3" fillId="0" borderId="4" applyNumberFormat="0" applyFill="0" applyAlignment="0" applyProtection="0"/>
    <xf numFmtId="0" fontId="4" fillId="3" borderId="5" applyNumberFormat="0" applyAlignment="0" applyProtection="0"/>
    <xf numFmtId="0" fontId="5" fillId="4" borderId="6" applyNumberFormat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4" xfId="3" applyAlignment="1">
      <alignment horizontal="center"/>
    </xf>
    <xf numFmtId="0" fontId="2" fillId="0" borderId="3" xfId="2" applyAlignment="1">
      <alignment horizontal="center"/>
    </xf>
    <xf numFmtId="0" fontId="4" fillId="3" borderId="5" xfId="4" applyNumberFormat="1" applyAlignment="1">
      <alignment horizontal="center"/>
    </xf>
    <xf numFmtId="0" fontId="5" fillId="4" borderId="6" xfId="5" applyNumberFormat="1" applyAlignment="1">
      <alignment horizontal="center"/>
    </xf>
    <xf numFmtId="0" fontId="0" fillId="0" borderId="2" xfId="0" applyBorder="1" applyAlignment="1">
      <alignment horizontal="center"/>
    </xf>
    <xf numFmtId="0" fontId="5" fillId="4" borderId="7" xfId="1" applyNumberFormat="1" applyFont="1" applyFill="1" applyBorder="1" applyAlignment="1">
      <alignment horizontal="center"/>
    </xf>
    <xf numFmtId="0" fontId="5" fillId="4" borderId="8" xfId="1" applyNumberFormat="1" applyFont="1" applyFill="1" applyBorder="1" applyAlignment="1">
      <alignment horizontal="center"/>
    </xf>
    <xf numFmtId="0" fontId="2" fillId="0" borderId="3" xfId="2" applyAlignment="1">
      <alignment horizontal="center"/>
    </xf>
    <xf numFmtId="12" fontId="4" fillId="3" borderId="5" xfId="4" applyNumberFormat="1" applyAlignment="1">
      <alignment horizontal="center"/>
    </xf>
    <xf numFmtId="0" fontId="3" fillId="0" borderId="4" xfId="3" applyAlignment="1">
      <alignment horizontal="center"/>
    </xf>
    <xf numFmtId="0" fontId="0" fillId="0" borderId="0" xfId="0" applyAlignment="1">
      <alignment horizontal="center"/>
    </xf>
  </cellXfs>
  <cellStyles count="6">
    <cellStyle name="Comma" xfId="1" builtinId="3"/>
    <cellStyle name="Heading 1" xfId="2" builtinId="16"/>
    <cellStyle name="Heading 2" xfId="3" builtinId="17"/>
    <cellStyle name="Input" xfId="4" builtinId="20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666A-CBD0-DF4B-A2E6-E120DE5003A5}">
  <sheetPr codeName="Sheet1"/>
  <dimension ref="B2:N18"/>
  <sheetViews>
    <sheetView zoomScale="130" zoomScaleNormal="130" workbookViewId="0">
      <selection activeCell="C20" sqref="C20"/>
    </sheetView>
  </sheetViews>
  <sheetFormatPr defaultColWidth="11" defaultRowHeight="15.75"/>
  <cols>
    <col min="1" max="1" width="7.5" customWidth="1"/>
    <col min="2" max="8" width="6.375" customWidth="1"/>
    <col min="9" max="9" width="7.875" customWidth="1"/>
    <col min="10" max="10" width="6.375" customWidth="1"/>
    <col min="11" max="11" width="7.875" customWidth="1"/>
    <col min="13" max="13" width="7.875" customWidth="1"/>
    <col min="14" max="14" width="11.5" customWidth="1"/>
  </cols>
  <sheetData>
    <row r="2" spans="2:14">
      <c r="B2" s="7" t="s">
        <v>0</v>
      </c>
      <c r="C2" s="7"/>
      <c r="D2" s="7"/>
      <c r="E2" s="7"/>
      <c r="F2" s="7"/>
      <c r="G2" s="7"/>
      <c r="H2" s="7"/>
    </row>
    <row r="3" spans="2:14">
      <c r="B3" s="2">
        <v>0.1</v>
      </c>
      <c r="C3" s="2">
        <v>0.7</v>
      </c>
      <c r="D3" s="2">
        <v>0.2</v>
      </c>
      <c r="E3" s="2">
        <v>0</v>
      </c>
      <c r="F3" s="2">
        <v>0</v>
      </c>
      <c r="G3" s="2">
        <v>0</v>
      </c>
      <c r="H3" s="2">
        <v>0</v>
      </c>
    </row>
    <row r="4" spans="2:14">
      <c r="B4" s="2">
        <v>0.2</v>
      </c>
      <c r="C4" s="2">
        <v>0.6</v>
      </c>
      <c r="D4" s="2">
        <v>0.2</v>
      </c>
      <c r="E4" s="2">
        <v>0</v>
      </c>
      <c r="F4" s="2">
        <v>0</v>
      </c>
      <c r="G4" s="2">
        <v>0</v>
      </c>
      <c r="H4" s="2">
        <v>0</v>
      </c>
    </row>
    <row r="5" spans="2:14">
      <c r="B5" s="2">
        <v>0.4</v>
      </c>
      <c r="C5" s="2">
        <v>0.2</v>
      </c>
      <c r="D5" s="2">
        <v>0.4</v>
      </c>
      <c r="E5" s="2">
        <v>0</v>
      </c>
      <c r="F5" s="2">
        <v>0</v>
      </c>
      <c r="G5" s="2">
        <v>0</v>
      </c>
      <c r="H5" s="2">
        <v>0</v>
      </c>
    </row>
    <row r="6" spans="2:14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2:14"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2:14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</row>
    <row r="9" spans="2:14"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</row>
    <row r="11" spans="2:14">
      <c r="B11" s="7" t="s">
        <v>1</v>
      </c>
      <c r="C11" s="7"/>
      <c r="D11" s="7"/>
      <c r="E11" s="7"/>
      <c r="F11" s="7"/>
      <c r="G11" s="7"/>
      <c r="H11" s="7"/>
      <c r="J11" s="1" t="s">
        <v>2</v>
      </c>
      <c r="L11" s="1" t="s">
        <v>3</v>
      </c>
      <c r="N11" s="1" t="s">
        <v>4</v>
      </c>
    </row>
    <row r="12" spans="2:14">
      <c r="B12" s="2" cm="1">
        <f t="array" ref="B12:H18">TRANSPOSE(B3:H9)</f>
        <v>0.1</v>
      </c>
      <c r="C12" s="2">
        <v>0.2</v>
      </c>
      <c r="D12" s="2">
        <v>0.4</v>
      </c>
      <c r="E12" s="2">
        <v>0</v>
      </c>
      <c r="F12" s="2">
        <v>0</v>
      </c>
      <c r="G12" s="2">
        <v>0</v>
      </c>
      <c r="H12" s="2">
        <v>0</v>
      </c>
      <c r="J12" s="2">
        <v>0</v>
      </c>
      <c r="L12" s="2">
        <v>1</v>
      </c>
      <c r="N12" s="2" cm="1">
        <f t="array" ref="N12:N18">MMULT(MatrixPower(B12:H18,L12),J12:J18)</f>
        <v>0.4</v>
      </c>
    </row>
    <row r="13" spans="2:14">
      <c r="B13" s="2">
        <v>0.7</v>
      </c>
      <c r="C13" s="2">
        <v>0.6</v>
      </c>
      <c r="D13" s="2">
        <v>0.2</v>
      </c>
      <c r="E13" s="2">
        <v>0</v>
      </c>
      <c r="F13" s="2">
        <v>0</v>
      </c>
      <c r="G13" s="2">
        <v>0</v>
      </c>
      <c r="H13" s="2">
        <v>0</v>
      </c>
      <c r="J13" s="2">
        <v>0</v>
      </c>
      <c r="N13" s="2">
        <v>0.2</v>
      </c>
    </row>
    <row r="14" spans="2:14">
      <c r="B14" s="2">
        <v>0.2</v>
      </c>
      <c r="C14" s="2">
        <v>0.2</v>
      </c>
      <c r="D14" s="2">
        <v>0.4</v>
      </c>
      <c r="E14" s="2">
        <v>0</v>
      </c>
      <c r="F14" s="2">
        <v>0</v>
      </c>
      <c r="G14" s="2">
        <v>0</v>
      </c>
      <c r="H14" s="2">
        <v>0</v>
      </c>
      <c r="J14" s="2">
        <v>1</v>
      </c>
      <c r="N14" s="2">
        <v>0.4</v>
      </c>
    </row>
    <row r="15" spans="2:14"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J15" s="2">
        <v>0</v>
      </c>
      <c r="N15" s="2">
        <v>0</v>
      </c>
    </row>
    <row r="16" spans="2:14"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J16" s="2">
        <v>0</v>
      </c>
      <c r="N16" s="2">
        <v>0</v>
      </c>
    </row>
    <row r="17" spans="2:14"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J17" s="2">
        <v>0</v>
      </c>
      <c r="N17" s="2">
        <v>0</v>
      </c>
    </row>
    <row r="18" spans="2:14"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J18" s="2">
        <v>0</v>
      </c>
      <c r="N18" s="2">
        <v>0</v>
      </c>
    </row>
  </sheetData>
  <mergeCells count="2">
    <mergeCell ref="B2:H2"/>
    <mergeCell ref="B11:H1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21CA0-E58D-47EA-A80A-F7196F964D16}">
  <dimension ref="B3:F12"/>
  <sheetViews>
    <sheetView showGridLines="0" topLeftCell="A13" workbookViewId="0">
      <selection activeCell="J19" sqref="J19"/>
    </sheetView>
  </sheetViews>
  <sheetFormatPr defaultRowHeight="15.75"/>
  <cols>
    <col min="6" max="6" width="9" customWidth="1"/>
  </cols>
  <sheetData>
    <row r="3" spans="2:6" ht="20.25" thickBot="1">
      <c r="B3" s="4" t="s">
        <v>5</v>
      </c>
      <c r="C3" s="10" t="s">
        <v>6</v>
      </c>
      <c r="D3" s="10"/>
      <c r="E3" s="10" t="s">
        <v>7</v>
      </c>
      <c r="F3" s="10"/>
    </row>
    <row r="4" spans="2:6" ht="16.5" thickTop="1">
      <c r="B4" s="5">
        <f>60</f>
        <v>60</v>
      </c>
      <c r="C4" s="11">
        <v>0.16666666666666699</v>
      </c>
      <c r="D4" s="11"/>
      <c r="E4" s="11">
        <v>0.25</v>
      </c>
      <c r="F4" s="11"/>
    </row>
    <row r="6" spans="2:6" ht="19.5" thickBot="1">
      <c r="B6" s="3" t="s">
        <v>8</v>
      </c>
      <c r="C6" s="3" t="s">
        <v>9</v>
      </c>
      <c r="D6" s="3" t="s">
        <v>10</v>
      </c>
      <c r="E6" s="3" t="s">
        <v>11</v>
      </c>
      <c r="F6" s="3" t="s">
        <v>12</v>
      </c>
    </row>
    <row r="7" spans="2:6" ht="16.5" thickTop="1">
      <c r="B7" s="6">
        <f>C4/ E4</f>
        <v>0.66666666666666796</v>
      </c>
      <c r="C7" s="6">
        <f>B7/(1-B7)</f>
        <v>2.0000000000000115</v>
      </c>
      <c r="D7" s="6">
        <f>(B7*B7)/(1 - B7)</f>
        <v>1.3333333333333437</v>
      </c>
      <c r="E7" s="6">
        <f>1/(E4-C4)</f>
        <v>12.000000000000046</v>
      </c>
      <c r="F7" s="6">
        <f>B7/(E4-C4)</f>
        <v>8.0000000000000462</v>
      </c>
    </row>
    <row r="9" spans="2:6" ht="19.5" thickBot="1">
      <c r="C9" s="12" t="s">
        <v>13</v>
      </c>
      <c r="D9" s="12"/>
      <c r="E9" s="12" t="s">
        <v>14</v>
      </c>
      <c r="F9" s="12"/>
    </row>
    <row r="10" spans="2:6" ht="16.5" thickTop="1">
      <c r="C10" s="8">
        <f>EXP(-B4/E7)</f>
        <v>6.7379469990855988E-3</v>
      </c>
      <c r="D10" s="9"/>
      <c r="E10" s="8">
        <f>B7*EXP(-B4/E7)</f>
        <v>4.4919646660570743E-3</v>
      </c>
      <c r="F10" s="9"/>
    </row>
    <row r="12" spans="2:6">
      <c r="B12" t="s">
        <v>15</v>
      </c>
    </row>
  </sheetData>
  <mergeCells count="8">
    <mergeCell ref="C10:D10"/>
    <mergeCell ref="E10:F10"/>
    <mergeCell ref="C3:D3"/>
    <mergeCell ref="C4:D4"/>
    <mergeCell ref="E3:F3"/>
    <mergeCell ref="E4:F4"/>
    <mergeCell ref="C9:D9"/>
    <mergeCell ref="E9:F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2C1A-4FE5-274E-9D8F-E319A1FB8A3D}">
  <dimension ref="B1:G12"/>
  <sheetViews>
    <sheetView tabSelected="1" zoomScale="157" workbookViewId="0">
      <selection activeCell="C13" sqref="C13"/>
    </sheetView>
  </sheetViews>
  <sheetFormatPr defaultColWidth="11" defaultRowHeight="15.75"/>
  <sheetData>
    <row r="1" spans="2:7">
      <c r="B1" s="13" t="s">
        <v>16</v>
      </c>
      <c r="C1" s="13"/>
      <c r="D1" s="13"/>
      <c r="E1" s="13"/>
      <c r="F1" s="13"/>
      <c r="G1" s="13"/>
    </row>
    <row r="3" spans="2:7">
      <c r="B3" s="2" t="s">
        <v>17</v>
      </c>
      <c r="C3" s="2" t="s">
        <v>18</v>
      </c>
      <c r="D3" s="2" t="s">
        <v>6</v>
      </c>
      <c r="E3" s="2" t="s">
        <v>5</v>
      </c>
      <c r="G3" s="2" t="s">
        <v>19</v>
      </c>
    </row>
    <row r="4" spans="2:7">
      <c r="B4" s="2">
        <v>5</v>
      </c>
      <c r="C4" s="2">
        <v>0</v>
      </c>
      <c r="D4" s="2">
        <v>0.3</v>
      </c>
      <c r="E4" s="2">
        <v>5</v>
      </c>
      <c r="G4" s="2">
        <f>IF( B4 &gt;= C4, ((D4*E4)^(B4-C4)*EXP(-D4*E4))/FACT(B4-C4), 0)</f>
        <v>1.4119955446892825E-2</v>
      </c>
    </row>
    <row r="9" spans="2:7">
      <c r="B9" s="13" t="s">
        <v>20</v>
      </c>
      <c r="C9" s="13"/>
      <c r="D9" s="13"/>
      <c r="E9" s="13"/>
      <c r="F9" s="13"/>
      <c r="G9" s="13"/>
    </row>
    <row r="11" spans="2:7">
      <c r="B11" s="2" t="s">
        <v>17</v>
      </c>
      <c r="C11" s="2" t="s">
        <v>18</v>
      </c>
      <c r="D11" s="2" t="s">
        <v>7</v>
      </c>
      <c r="E11" s="2" t="s">
        <v>5</v>
      </c>
      <c r="G11" s="2" t="s">
        <v>19</v>
      </c>
    </row>
    <row r="12" spans="2:7">
      <c r="B12" s="2">
        <v>5</v>
      </c>
      <c r="C12" s="2">
        <v>10</v>
      </c>
      <c r="D12" s="2">
        <v>0.5</v>
      </c>
      <c r="E12" s="2">
        <v>10</v>
      </c>
      <c r="G12" s="2">
        <f>IF( B12 &lt;= C12, ((D12*E12)^(C12-B12)*EXP(-D12*E12))/FACT(C12-B12), 0)</f>
        <v>0.17546736976785071</v>
      </c>
    </row>
  </sheetData>
  <mergeCells count="2">
    <mergeCell ref="B1:G1"/>
    <mergeCell ref="B9:G9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SmithJ067</cp:lastModifiedBy>
  <cp:revision/>
  <dcterms:created xsi:type="dcterms:W3CDTF">2020-04-24T19:02:15Z</dcterms:created>
  <dcterms:modified xsi:type="dcterms:W3CDTF">2020-04-29T20:33:21Z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bb7b5156-5f0f-488e-a913-fc4b8c3c5c7d</vt:lpwstr>
  </property>
</Properties>
</file>